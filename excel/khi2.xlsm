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EC734049-C954-9101-EBF6-4418645C62DC}" lastEdited="7" lowestEdited="7" rupBuild="19226"/>
  <workbookPr codeName="ThisWorkbook" defaultThemeVersion="166925"/>
  <mc:AlternateContent>
    <mc:Choice Requires="x15">
      <x15ac:absPath xmlns:x15ac="http://schemas.microsoft.com/office/spreadsheetml/2010/11/ac" url="C:\Users\sandr\Documents\GitHub\modelisationMaths\excel\"/>
    </mc:Choice>
  </mc:AlternateContent>
  <xr:revisionPtr documentId="13_ncr:1_{22F96BD0-91FC-4295-9787-1E218B8E7499}" revIDLastSave="0" xr10:uidLastSave="{00000000-0000-0000-0000-000000000000}" xr6:coauthVersionLast="32" xr6:coauthVersionMax="32"/>
  <bookViews>
    <workbookView windowHeight="9072" windowWidth="23040" xWindow="0" xr2:uid="{B5BB311C-D334-4DDC-A76A-922B328AC9A5}" yWindow="0"/>
  </bookViews>
  <sheets>
    <sheet name="exponentielle" r:id="rId1" sheetId="1"/>
  </sheets>
  <calcPr calcId="179017"/>
  <extLs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i="1" l="1" r="F15"/>
  <c i="1" r="G15"/>
  <c i="1" r="H15"/>
  <c i="1" r="I15"/>
  <c i="1" r="J15"/>
  <c i="1" r="K15"/>
  <c i="1" r="L15"/>
  <c i="1" r="M15"/>
  <c i="1" r="N15"/>
  <c i="1" r="E15"/>
  <c i="1" r="N13"/>
  <c i="1" r="M13"/>
  <c i="1" r="L13"/>
  <c i="1" r="K13"/>
  <c i="1" r="J13"/>
  <c i="1" r="I13"/>
  <c i="1" r="H13"/>
  <c i="1" r="G13"/>
  <c i="1" r="F13"/>
  <c i="1" r="E13"/>
  <c i="1" l="1" r="E4"/>
  <c i="1" l="1" r="F4"/>
  <c i="1" l="1" r="G4"/>
  <c i="1" l="1" r="H4"/>
  <c i="1" r="I4"/>
  <c i="1" l="1" r="J4"/>
  <c i="1" r="K4" s="1"/>
  <c i="1" l="1" r="L4"/>
  <c i="1" r="M4" s="1"/>
  <c i="1" r="N4" s="1"/>
  <c i="1" r="M5" s="1"/>
  <c i="1" l="1" r="J5"/>
  <c i="1" r="J6" s="1"/>
  <c i="1" r="J7" s="1"/>
  <c i="1" r="J8" s="1"/>
  <c i="1" r="E5"/>
  <c i="1" r="E6" s="1"/>
  <c i="1" r="E7" s="1"/>
  <c i="1" r="E8" s="1"/>
  <c i="1" r="F5"/>
  <c i="1" r="F6" s="1"/>
  <c i="1" r="G5"/>
  <c i="1" r="G6" s="1"/>
  <c i="1" r="G7" s="1"/>
  <c i="1" r="G8" s="1"/>
  <c i="1" r="L5"/>
  <c i="1" r="L6" s="1"/>
  <c i="1" r="L7" s="1"/>
  <c i="1" r="L8" s="1"/>
  <c i="1" r="I5"/>
  <c i="1" r="I6" s="1"/>
  <c i="1" r="I7" s="1"/>
  <c i="1" r="I8" s="1"/>
  <c i="1" r="H5"/>
  <c i="1" r="H6" s="1"/>
  <c i="1" r="H7" s="1"/>
  <c i="1" r="H8" s="1"/>
  <c i="1" r="K5"/>
  <c i="1" r="K6" s="1"/>
  <c i="1" r="K7" s="1"/>
  <c i="1" r="K8" s="1"/>
  <c i="1" r="N5"/>
  <c i="1" r="N6" s="1"/>
  <c i="1" r="N7" s="1"/>
  <c i="1" r="N8" s="1"/>
  <c i="1" r="M6"/>
  <c i="1" r="M7" s="1"/>
  <c i="1" r="M8" s="1"/>
  <c i="1" l="1" r="F7"/>
  <c i="1" r="F8" s="1"/>
  <c i="1" r="P2" s="1"/>
  <c i="1" l="1" r="N14"/>
  <c i="1" l="1" r="K14"/>
  <c i="1" r="K16" s="1"/>
  <c i="1" r="K17" s="1"/>
  <c i="1" r="G14"/>
  <c i="1" r="G16" s="1"/>
  <c i="1" r="G17" s="1"/>
  <c i="1" r="M14"/>
  <c i="1" r="M16" s="1"/>
  <c i="1" r="M17" s="1"/>
  <c i="1" r="I14"/>
  <c i="1" r="I16" s="1"/>
  <c i="1" r="I17" s="1"/>
  <c i="1" r="H14"/>
  <c i="1" r="H16" s="1"/>
  <c i="1" r="H17" s="1"/>
  <c i="1" r="N16"/>
  <c i="1" r="N17" s="1"/>
  <c i="1" r="L14"/>
  <c i="1" r="L16" s="1"/>
  <c i="1" r="L17" s="1"/>
  <c i="1" r="F14"/>
  <c i="1" r="F16" s="1"/>
  <c i="1" r="F17" s="1"/>
  <c i="1" r="E14"/>
  <c i="1" r="E16" s="1"/>
  <c i="1" r="E17" s="1"/>
  <c i="1" r="J14"/>
  <c i="1" r="J16" s="1"/>
  <c i="1" r="J17" s="1"/>
</calcChain>
</file>

<file path=xl/sharedStrings.xml><?xml version="1.0" encoding="utf-8"?>
<sst xmlns="http://schemas.openxmlformats.org/spreadsheetml/2006/main" count="36" uniqueCount="30">
  <si>
    <t>Classe 1</t>
  </si>
  <si>
    <t>Classe 2</t>
  </si>
  <si>
    <t>Classe 3</t>
  </si>
  <si>
    <t>Classe 4</t>
  </si>
  <si>
    <t>Classe 5</t>
  </si>
  <si>
    <t>Classe 6</t>
  </si>
  <si>
    <t>Classe 7</t>
  </si>
  <si>
    <t>Classe 8</t>
  </si>
  <si>
    <t>Classe 9</t>
  </si>
  <si>
    <t>n_obs</t>
  </si>
  <si>
    <t>n_th</t>
  </si>
  <si>
    <t>Intervalle</t>
  </si>
  <si>
    <t>0-0,1</t>
  </si>
  <si>
    <t>0,1-0,2</t>
  </si>
  <si>
    <t>0,2-03</t>
  </si>
  <si>
    <t>0,3-0,4</t>
  </si>
  <si>
    <t>0,4-0,5</t>
  </si>
  <si>
    <t>0,5-0,6</t>
  </si>
  <si>
    <t>0,6-0,7</t>
  </si>
  <si>
    <t>0,7-0,8</t>
  </si>
  <si>
    <t>0,8-0,9</t>
  </si>
  <si>
    <t>Classe 10</t>
  </si>
  <si>
    <t>0,9-1</t>
  </si>
  <si>
    <t>D</t>
  </si>
  <si>
    <t>Diff²</t>
  </si>
  <si>
    <t>Diff</t>
  </si>
  <si>
    <t>Diff²/</t>
  </si>
  <si>
    <t>Khi2 Degré 9</t>
  </si>
  <si>
    <t>Nombres générés (ALEA)</t>
  </si>
  <si>
    <t>Ligne à remplir manuellement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</si>
</sst>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borderId="0" fillId="0" fontId="0" numFmtId="0"/>
  </cellStyleXfs>
  <cellXfs count="7">
    <xf borderId="0" fillId="0" fontId="0" numFmtId="0" xfId="0"/>
    <xf applyBorder="1" borderId="1" fillId="0" fontId="0" numFmtId="0" xfId="0"/>
    <xf applyBorder="1" applyFont="1" borderId="1" fillId="0" fontId="1" numFmtId="0" xfId="0"/>
    <xf applyBorder="1" applyFill="1" borderId="1" fillId="0" fontId="0" numFmtId="0" xfId="0"/>
    <xf applyBorder="1" applyFill="1" applyFont="1" borderId="1" fillId="0" fontId="1" numFmtId="0" xfId="0"/>
    <xf applyBorder="1" applyFill="1" applyFont="1" borderId="1" fillId="2" fontId="1" numFmtId="0" xfId="0"/>
    <xf applyFill="1" borderId="0" fillId="2" fontId="0" numFmtId="0" xfId="0"/>
  </cellXfs>
  <cellStyles count="1">
    <cellStyle builtinId="0" name="Normal" xfId="0"/>
  </cellStyles>
  <dxfs count="0"/>
  <tableStyles count="0" defaultPivotStyle="PivotStyleLight16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theme/theme1.xml" Type="http://schemas.openxmlformats.org/officeDocument/2006/relationships/theme"/><Relationship Id="rId3" Target="styles.xml" Type="http://schemas.openxmlformats.org/officeDocument/2006/relationships/styles"/><Relationship Id="rId4" Target="sharedStrings.xml" Type="http://schemas.openxmlformats.org/officeDocument/2006/relationships/sharedStrings"/><Relationship Id="rId5" Target="calcChain.xml" Type="http://schemas.openxmlformats.org/officeDocument/2006/relationships/calcChain"/><Relationship Id="rId6" Target="vbaProject.bin" Type="http://schemas.microsoft.com/office/2006/relationships/vbaProject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0</xdr:row>
          <xdr:rowOff>15240</xdr:rowOff>
        </xdr:from>
        <xdr:to>
          <xdr:col>2</xdr:col>
          <xdr:colOff>617220</xdr:colOff>
          <xdr:row>0</xdr:row>
          <xdr:rowOff>160020</xdr:rowOff>
        </xdr:to>
        <xdr:sp macro="" textlink="">
          <xdr:nvSpPr>
            <xdr:cNvPr hidden="1" id="1025" name="Button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32004" lIns="36576" rIns="36576" tIns="32004" upright="1" vertOverflow="clip" wrap="square"/>
            <a:lstStyle/>
            <a:p>
              <a:pPr algn="ctr" rtl="0">
                <a:defRPr sz="1000"/>
              </a:pPr>
              <a:r>
                <a:rPr b="0" baseline="0" i="0" lang="fr-FR" strike="noStrike" sz="1100" u="none">
                  <a:solidFill>
                    <a:srgbClr val="000000"/>
                  </a:solidFill>
                  <a:latin typeface="Calibri"/>
                  <a:cs typeface="Calibri"/>
                </a:rPr>
                <a:t>TRI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panose="020F0302020204030204"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E8A239D8-A6AD-4305-829A-9919638FED08}">
  <sheetPr codeName="Feuil1"/>
  <dimension ref="A1:R301"/>
  <sheetViews>
    <sheetView tabSelected="1" workbookViewId="0">
      <selection activeCell="D17" sqref="D17"/>
    </sheetView>
  </sheetViews>
  <sheetFormatPr baseColWidth="10" defaultRowHeight="14.4" x14ac:dyDescent="0.3"/>
  <cols>
    <col min="1" max="1" customWidth="true" width="21.77734375" collapsed="false"/>
    <col min="2" max="2" customWidth="true" width="13.88671875" collapsed="false"/>
    <col min="3" max="3" customWidth="true" width="11.77734375" collapsed="false"/>
    <col min="4" max="4" bestFit="true" customWidth="true" width="25.21875" collapsed="false"/>
    <col min="5" max="5" bestFit="true" customWidth="true" width="12.0" collapsed="false"/>
    <col min="15" max="15" customWidth="true" width="5.77734375" collapsed="false"/>
  </cols>
  <sheetData>
    <row r="1" spans="1:17" x14ac:dyDescent="0.3">
      <c r="A1" s="2" t="s">
        <v>28</v>
      </c>
      <c r="B1" s="2" t="s">
        <v>28</v>
      </c>
      <c r="E1" s="2" t="s">
        <v>0</v>
      </c>
      <c r="F1" s="2" t="s">
        <v>1</v>
      </c>
      <c r="G1" s="2" t="s">
        <v>2</v>
      </c>
      <c r="H1" s="2" t="s">
        <v>3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21</v>
      </c>
      <c r="P1" s="4" t="s">
        <v>23</v>
      </c>
      <c r="Q1" s="4" t="s">
        <v>27</v>
      </c>
    </row>
    <row r="2" spans="1:17" x14ac:dyDescent="0.3">
      <c r="A2" t="n">
        <v>1.054420284764312</v>
      </c>
      <c r="B2">
        <v>1.5160226422001426E-3</v>
      </c>
      <c r="D2" s="5" t="s">
        <v>11</v>
      </c>
      <c r="E2" s="1" t="s">
        <v>12</v>
      </c>
      <c r="F2" s="1" t="s">
        <v>13</v>
      </c>
      <c r="G2" s="1" t="s">
        <v>14</v>
      </c>
      <c r="H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N2" s="3" t="s">
        <v>22</v>
      </c>
      <c r="P2" s="1">
        <f>SUM(E8:N8)</f>
        <v>291.85034013605446</v>
      </c>
      <c r="Q2" s="1">
        <v>16.920000000000002</v>
      </c>
    </row>
    <row r="3" spans="1:17" x14ac:dyDescent="0.3">
      <c r="A3" t="n">
        <v>0.6214390436810387</v>
      </c>
      <c r="B3">
        <v>4.6752156695341555E-3</v>
      </c>
    </row>
    <row r="4" spans="1:17" x14ac:dyDescent="0.3">
      <c r="A4" t="n">
        <v>0.7760180618565672</v>
      </c>
      <c r="B4">
        <v>4.7494004354948641E-3</v>
      </c>
      <c r="D4" s="5" t="s">
        <v>9</v>
      </c>
      <c r="E4" s="1">
        <f>COUNTIF($B:$B,"&lt;0,1")</f>
        <v>91</v>
      </c>
      <c r="F4" s="1">
        <f>COUNTIF($B:$B,"&lt;0,2")-SUM($E$4:E4)</f>
        <v>71</v>
      </c>
      <c r="G4" s="1">
        <f>COUNTIF($B:$B,"&lt;0,3")-SUM($E$4:F4)</f>
        <v>43</v>
      </c>
      <c r="H4" s="1">
        <f>COUNTIF($B:$B,"&lt;0,4")-SUM($E$4:G4)</f>
        <v>35</v>
      </c>
      <c r="I4" s="1">
        <f>COUNTIF($B:$B,"&lt;0,5")-SUM($E$4:H4)</f>
        <v>24</v>
      </c>
      <c r="J4" s="1">
        <f>COUNTIF($B:$B,"&lt;0,6")-SUM($E$4:I4)</f>
        <v>12</v>
      </c>
      <c r="K4" s="1">
        <f>COUNTIF($B:$B,"&lt;0,7")-SUM($E$4:J4)</f>
        <v>8</v>
      </c>
      <c r="L4" s="1">
        <f>COUNTIF($B:$B,"&lt;0,8")-SUM($E$4:K4)</f>
        <v>2</v>
      </c>
      <c r="M4" s="1">
        <f>COUNTIF($B:$B,"&lt;0,9")-SUM($E$4:L4)</f>
        <v>6</v>
      </c>
      <c r="N4" s="1">
        <f>COUNTIF($B:$B,"&lt;1")-SUM($E$4:M4)</f>
        <v>2</v>
      </c>
    </row>
    <row r="5" spans="1:17" x14ac:dyDescent="0.3">
      <c r="A5" t="n">
        <v>0.6732820236001557</v>
      </c>
      <c r="B5">
        <v>4.7633912568070093E-3</v>
      </c>
      <c r="D5" s="2" t="s">
        <v>10</v>
      </c>
      <c r="E5" s="1">
        <f>SUM(E4:N4)/10</f>
        <v>29.4</v>
      </c>
      <c r="F5" s="1">
        <f>SUM(E4:N4)/10</f>
        <v>29.4</v>
      </c>
      <c r="G5" s="1">
        <f>SUM(E4:N4)/10</f>
        <v>29.4</v>
      </c>
      <c r="H5" s="1">
        <f>SUM(E4:N4)/10</f>
        <v>29.4</v>
      </c>
      <c r="I5" s="1">
        <f>SUM(E4:N4)/10</f>
        <v>29.4</v>
      </c>
      <c r="J5" s="1">
        <f>SUM(E4:N4)/10</f>
        <v>29.4</v>
      </c>
      <c r="K5" s="1">
        <f>SUM(E4:N4)/10</f>
        <v>29.4</v>
      </c>
      <c r="L5" s="1">
        <f>SUM(E4:N4)/10</f>
        <v>29.4</v>
      </c>
      <c r="M5" s="1">
        <f>SUM(E4:N4)/10</f>
        <v>29.4</v>
      </c>
      <c r="N5" s="1">
        <f>SUM(E4:N4)/10</f>
        <v>29.4</v>
      </c>
    </row>
    <row r="6" spans="1:17" x14ac:dyDescent="0.3">
      <c r="A6" t="n">
        <v>0.8132874134178087</v>
      </c>
      <c r="B6">
        <v>5.896178521753068E-3</v>
      </c>
      <c r="D6" s="4" t="s">
        <v>25</v>
      </c>
      <c r="E6" s="1">
        <f>E4-E5</f>
        <v>61.6</v>
      </c>
      <c r="F6" s="1">
        <f ref="F6:N6" si="0" t="shared">F4-F5</f>
        <v>41.6</v>
      </c>
      <c r="G6" s="1">
        <f si="0" t="shared"/>
        <v>13.600000000000001</v>
      </c>
      <c r="H6" s="1">
        <f si="0" t="shared"/>
        <v>5.6000000000000014</v>
      </c>
      <c r="I6" s="1">
        <f si="0" t="shared"/>
        <v>-5.3999999999999986</v>
      </c>
      <c r="J6" s="1">
        <f si="0" t="shared"/>
        <v>-17.399999999999999</v>
      </c>
      <c r="K6" s="1">
        <f si="0" t="shared"/>
        <v>-21.4</v>
      </c>
      <c r="L6" s="1">
        <f si="0" t="shared"/>
        <v>-27.4</v>
      </c>
      <c r="M6" s="1">
        <f si="0" t="shared"/>
        <v>-23.4</v>
      </c>
      <c r="N6" s="1">
        <f si="0" t="shared"/>
        <v>-27.4</v>
      </c>
    </row>
    <row r="7" spans="1:17" x14ac:dyDescent="0.3">
      <c r="A7" t="n">
        <v>1.1178399813693647</v>
      </c>
      <c r="B7">
        <v>6.9045271778436449E-3</v>
      </c>
      <c r="D7" s="4" t="s">
        <v>24</v>
      </c>
      <c r="E7" s="1">
        <f>E6*E6</f>
        <v>3794.5600000000004</v>
      </c>
      <c r="F7" s="1">
        <f ref="F7:N7" si="1" t="shared">F6*F6</f>
        <v>1730.5600000000002</v>
      </c>
      <c r="G7" s="1">
        <f si="1" t="shared"/>
        <v>184.96000000000004</v>
      </c>
      <c r="H7" s="1">
        <f si="1" t="shared"/>
        <v>31.360000000000017</v>
      </c>
      <c r="I7" s="1">
        <f si="1" t="shared"/>
        <v>29.159999999999986</v>
      </c>
      <c r="J7" s="1">
        <f si="1" t="shared"/>
        <v>302.75999999999993</v>
      </c>
      <c r="K7" s="1">
        <f si="1" t="shared"/>
        <v>457.95999999999992</v>
      </c>
      <c r="L7" s="1">
        <f si="1" t="shared"/>
        <v>750.75999999999988</v>
      </c>
      <c r="M7" s="1">
        <f si="1" t="shared"/>
        <v>547.55999999999995</v>
      </c>
      <c r="N7" s="1">
        <f si="1" t="shared"/>
        <v>750.75999999999988</v>
      </c>
    </row>
    <row r="8" spans="1:17" x14ac:dyDescent="0.3">
      <c r="A8" t="n">
        <v>1.4025011697693552</v>
      </c>
      <c r="B8">
        <v>7.006445918501524E-3</v>
      </c>
      <c r="D8" s="4" t="s">
        <v>26</v>
      </c>
      <c r="E8" s="1">
        <f>E7/E5</f>
        <v>129.06666666666669</v>
      </c>
      <c r="F8" s="1">
        <f ref="F8:N8" si="2" t="shared">F7/F5</f>
        <v>58.862585034013613</v>
      </c>
      <c r="G8" s="1">
        <f si="2" t="shared"/>
        <v>6.2911564625850351</v>
      </c>
      <c r="H8" s="1">
        <f si="2" t="shared"/>
        <v>1.0666666666666673</v>
      </c>
      <c r="I8" s="1">
        <f si="2" t="shared"/>
        <v>0.99183673469387712</v>
      </c>
      <c r="J8" s="1">
        <f si="2" t="shared"/>
        <v>10.297959183673468</v>
      </c>
      <c r="K8" s="1">
        <f si="2" t="shared"/>
        <v>15.576870748299317</v>
      </c>
      <c r="L8" s="1">
        <f si="2" t="shared"/>
        <v>25.536054421768704</v>
      </c>
      <c r="M8" s="1">
        <f si="2" t="shared"/>
        <v>18.624489795918365</v>
      </c>
      <c r="N8" s="1">
        <f si="2" t="shared"/>
        <v>25.536054421768704</v>
      </c>
    </row>
    <row r="9" spans="1:17" x14ac:dyDescent="0.3">
      <c r="A9" t="n">
        <v>1.1799695761760587</v>
      </c>
      <c r="B9">
        <v>7.3310999694311081E-3</v>
      </c>
    </row>
    <row r="10" spans="1:17" x14ac:dyDescent="0.3">
      <c r="A10" t="n">
        <v>0.26789682434785056</v>
      </c>
      <c r="B10">
        <v>1.0666017312277145E-2</v>
      </c>
      <c r="D10" s="6" t="s">
        <v>29</v>
      </c>
    </row>
    <row r="11" spans="1:17" x14ac:dyDescent="0.3">
      <c r="A11" t="n">
        <v>1.3073274426179387</v>
      </c>
      <c r="B11">
        <v>1.172533855763737E-2</v>
      </c>
    </row>
    <row r="12" spans="1:17" x14ac:dyDescent="0.3">
      <c r="A12" t="n">
        <v>1.1646672162198828</v>
      </c>
      <c r="B12">
        <v>1.1993104725918987E-2</v>
      </c>
    </row>
    <row r="13" spans="1:17" x14ac:dyDescent="0.3">
      <c r="A13" t="n">
        <v>0.583874641366039</v>
      </c>
      <c r="B13">
        <v>1.2511647520745857E-2</v>
      </c>
      <c r="D13" s="5" t="s">
        <v>9</v>
      </c>
      <c r="E13" s="1">
        <f>COUNTIF($B:$B,"&lt;0,1")</f>
        <v>91</v>
      </c>
      <c r="F13" s="1">
        <f>COUNTIF($B:$B,"&lt;0,2")-SUM($E$4:E4)</f>
        <v>71</v>
      </c>
      <c r="G13" s="1">
        <f>COUNTIF($B:$B,"&lt;0,3")-SUM($E$4:F4)</f>
        <v>43</v>
      </c>
      <c r="H13" s="1">
        <f>COUNTIF($B:$B,"&lt;0,4")-SUM($E$4:G4)</f>
        <v>35</v>
      </c>
      <c r="I13" s="1">
        <f>COUNTIF($B:$B,"&lt;0,5")-SUM($E$4:H4)</f>
        <v>24</v>
      </c>
      <c r="J13" s="1">
        <f>COUNTIF($B:$B,"&lt;0,6")-SUM($E$4:I4)</f>
        <v>12</v>
      </c>
      <c r="K13" s="1">
        <f>COUNTIF($B:$B,"&lt;0,7")-SUM($E$4:J4)</f>
        <v>8</v>
      </c>
      <c r="L13" s="1">
        <f>COUNTIF($B:$B,"&lt;0,8")-SUM($E$4:K4)</f>
        <v>2</v>
      </c>
      <c r="M13" s="1">
        <f>COUNTIF($B:$B,"&lt;0,9")-SUM($E$4:L4)</f>
        <v>6</v>
      </c>
      <c r="N13" s="1">
        <f>COUNTIF($B:$B,"&lt;1")-SUM($E$4:M4)</f>
        <v>2</v>
      </c>
    </row>
    <row r="14" spans="1:17" x14ac:dyDescent="0.3">
      <c r="A14" t="n">
        <v>0.871291360705123</v>
      </c>
      <c r="B14">
        <v>1.264729011725073E-2</v>
      </c>
      <c r="D14" s="2" t="s">
        <v>10</v>
      </c>
      <c r="E14" s="1">
        <f>SUM(E13:N13)/10</f>
        <v>29.4</v>
      </c>
      <c r="F14" s="1">
        <f>SUM(E13:N13)/10</f>
        <v>29.4</v>
      </c>
      <c r="G14" s="1">
        <f>SUM(E13:N13)/10</f>
        <v>29.4</v>
      </c>
      <c r="H14" s="1">
        <f>SUM(E13:N13)/10</f>
        <v>29.4</v>
      </c>
      <c r="I14" s="1">
        <f>SUM(E13:N13)/10</f>
        <v>29.4</v>
      </c>
      <c r="J14" s="1">
        <f>SUM(E13:N13)/10</f>
        <v>29.4</v>
      </c>
      <c r="K14" s="1">
        <f>SUM(E13:N13)/10</f>
        <v>29.4</v>
      </c>
      <c r="L14" s="1">
        <f>SUM(E13:N13)/10</f>
        <v>29.4</v>
      </c>
      <c r="M14" s="1">
        <f>SUM(E13:N13)/10</f>
        <v>29.4</v>
      </c>
      <c r="N14" s="1">
        <f>SUM(E13:N13)/10</f>
        <v>29.4</v>
      </c>
    </row>
    <row r="15" spans="1:17" x14ac:dyDescent="0.3">
      <c r="A15" t="n">
        <v>0.6894577814769489</v>
      </c>
      <c r="B15">
        <v>1.3383030161114227E-2</v>
      </c>
      <c r="D15" s="4" t="s">
        <v>25</v>
      </c>
      <c r="E15" s="1">
        <f>E13-E14</f>
        <v>61.6</v>
      </c>
      <c r="F15" s="1">
        <f ref="F15:N15" si="3" t="shared">F13-F14</f>
        <v>41.6</v>
      </c>
      <c r="G15" s="1">
        <f si="3" t="shared"/>
        <v>13.600000000000001</v>
      </c>
      <c r="H15" s="1">
        <f si="3" t="shared"/>
        <v>5.6000000000000014</v>
      </c>
      <c r="I15" s="1">
        <f si="3" t="shared"/>
        <v>-5.3999999999999986</v>
      </c>
      <c r="J15" s="1">
        <f si="3" t="shared"/>
        <v>-17.399999999999999</v>
      </c>
      <c r="K15" s="1">
        <f si="3" t="shared"/>
        <v>-21.4</v>
      </c>
      <c r="L15" s="1">
        <f si="3" t="shared"/>
        <v>-27.4</v>
      </c>
      <c r="M15" s="1">
        <f si="3" t="shared"/>
        <v>-23.4</v>
      </c>
      <c r="N15" s="1">
        <f si="3" t="shared"/>
        <v>-27.4</v>
      </c>
    </row>
    <row r="16" spans="1:17" x14ac:dyDescent="0.3">
      <c r="A16" t="n">
        <v>0.6785385843593396</v>
      </c>
      <c r="B16">
        <v>1.4961850573849718E-2</v>
      </c>
      <c r="D16" s="4" t="s">
        <v>24</v>
      </c>
      <c r="E16" s="1">
        <f>E15*E15</f>
        <v>3794.5600000000004</v>
      </c>
      <c r="F16" s="1">
        <f ref="F16:N16" si="4" t="shared">F15*F15</f>
        <v>1730.5600000000002</v>
      </c>
      <c r="G16" s="1">
        <f si="4" t="shared"/>
        <v>184.96000000000004</v>
      </c>
      <c r="H16" s="1">
        <f si="4" t="shared"/>
        <v>31.360000000000017</v>
      </c>
      <c r="I16" s="1">
        <f si="4" t="shared"/>
        <v>29.159999999999986</v>
      </c>
      <c r="J16" s="1">
        <f si="4" t="shared"/>
        <v>302.75999999999993</v>
      </c>
      <c r="K16" s="1">
        <f si="4" t="shared"/>
        <v>457.95999999999992</v>
      </c>
      <c r="L16" s="1">
        <f si="4" t="shared"/>
        <v>750.75999999999988</v>
      </c>
      <c r="M16" s="1">
        <f si="4" t="shared"/>
        <v>547.55999999999995</v>
      </c>
      <c r="N16" s="1">
        <f si="4" t="shared"/>
        <v>750.75999999999988</v>
      </c>
    </row>
    <row r="17" spans="1:14" x14ac:dyDescent="0.3">
      <c r="A17" t="n">
        <v>0.9631192000652323</v>
      </c>
      <c r="B17">
        <v>1.7313314972833619E-2</v>
      </c>
      <c r="D17" s="4" t="s">
        <v>26</v>
      </c>
      <c r="E17" s="1">
        <f>E16/E14</f>
        <v>129.06666666666669</v>
      </c>
      <c r="F17" s="1">
        <f ref="F17:N17" si="5" t="shared">F16/F14</f>
        <v>58.862585034013613</v>
      </c>
      <c r="G17" s="1">
        <f si="5" t="shared"/>
        <v>6.2911564625850351</v>
      </c>
      <c r="H17" s="1">
        <f si="5" t="shared"/>
        <v>1.0666666666666673</v>
      </c>
      <c r="I17" s="1">
        <f si="5" t="shared"/>
        <v>0.99183673469387712</v>
      </c>
      <c r="J17" s="1">
        <f si="5" t="shared"/>
        <v>10.297959183673468</v>
      </c>
      <c r="K17" s="1">
        <f si="5" t="shared"/>
        <v>15.576870748299317</v>
      </c>
      <c r="L17" s="1">
        <f si="5" t="shared"/>
        <v>25.536054421768704</v>
      </c>
      <c r="M17" s="1">
        <f si="5" t="shared"/>
        <v>18.624489795918365</v>
      </c>
      <c r="N17" s="1">
        <f si="5" t="shared"/>
        <v>25.536054421768704</v>
      </c>
    </row>
    <row r="18" spans="1:14" x14ac:dyDescent="0.3">
      <c r="A18" t="n">
        <v>0.5413678979358857</v>
      </c>
      <c r="B18">
        <v>1.7511613997405074E-2</v>
      </c>
    </row>
    <row r="19" spans="1:14" x14ac:dyDescent="0.3">
      <c r="A19" t="n">
        <v>0.5808645362653823</v>
      </c>
      <c r="B19">
        <v>1.7941289561506261E-2</v>
      </c>
    </row>
    <row r="20" spans="1:14" x14ac:dyDescent="0.3">
      <c r="A20" t="n">
        <v>0.7515490479189831</v>
      </c>
      <c r="B20">
        <v>1.8721980201569604E-2</v>
      </c>
    </row>
    <row r="21" spans="1:14" x14ac:dyDescent="0.3">
      <c r="A21" t="n">
        <v>1.102745946368554</v>
      </c>
      <c r="B21">
        <v>1.9829513039175552E-2</v>
      </c>
    </row>
    <row r="22" spans="1:14" x14ac:dyDescent="0.3">
      <c r="A22" t="n">
        <v>1.033470002964858</v>
      </c>
      <c r="B22">
        <v>2.0566379061823837E-2</v>
      </c>
    </row>
    <row r="23" spans="1:14" x14ac:dyDescent="0.3">
      <c r="A23" t="n">
        <v>1.2718396793699065</v>
      </c>
      <c r="B23">
        <v>2.1076433976392434E-2</v>
      </c>
    </row>
    <row r="24" spans="1:14" x14ac:dyDescent="0.3">
      <c r="A24" t="n">
        <v>1.0219378919097697</v>
      </c>
      <c r="B24">
        <v>2.2000831580002645E-2</v>
      </c>
    </row>
    <row r="25" spans="1:14" x14ac:dyDescent="0.3">
      <c r="A25" t="n">
        <v>0.831051034182375</v>
      </c>
      <c r="B25">
        <v>2.2944192922152808E-2</v>
      </c>
    </row>
    <row r="26" spans="1:14" x14ac:dyDescent="0.3">
      <c r="A26" t="n">
        <v>1.2581794131420245</v>
      </c>
      <c r="B26">
        <v>2.5935005102975237E-2</v>
      </c>
    </row>
    <row r="27" spans="1:14" x14ac:dyDescent="0.3">
      <c r="A27" t="n">
        <v>0.8063916166540208</v>
      </c>
      <c r="B27">
        <v>2.5996558682369643E-2</v>
      </c>
    </row>
    <row r="28" spans="1:14" x14ac:dyDescent="0.3">
      <c r="A28" t="n">
        <v>1.1091288457457034</v>
      </c>
      <c r="B28">
        <v>2.6768712453540643E-2</v>
      </c>
    </row>
    <row r="29" spans="1:14" x14ac:dyDescent="0.3">
      <c r="A29" t="n">
        <v>0.939294704236374</v>
      </c>
      <c r="B29">
        <v>2.7877767287160148E-2</v>
      </c>
    </row>
    <row r="30" spans="1:14" x14ac:dyDescent="0.3">
      <c r="A30" t="n">
        <v>1.6010685077530844</v>
      </c>
      <c r="B30">
        <v>2.8877568577645094E-2</v>
      </c>
    </row>
    <row r="31" spans="1:14" x14ac:dyDescent="0.3">
      <c r="A31" t="n">
        <v>0.8845425509132018</v>
      </c>
      <c r="B31">
        <v>2.9052192465173276E-2</v>
      </c>
    </row>
    <row r="32" spans="1:14" x14ac:dyDescent="0.3">
      <c r="A32" t="n">
        <v>0.9098916003485992</v>
      </c>
      <c r="B32">
        <v>3.0193521149688037E-2</v>
      </c>
    </row>
    <row r="33" spans="1:2" x14ac:dyDescent="0.3">
      <c r="A33" t="n">
        <v>0.8939534285827895</v>
      </c>
      <c r="B33">
        <v>3.049378028705858E-2</v>
      </c>
    </row>
    <row r="34" spans="1:2" x14ac:dyDescent="0.3">
      <c r="A34" t="n">
        <v>0.5743953687143178</v>
      </c>
      <c r="B34">
        <v>3.1043421164988337E-2</v>
      </c>
    </row>
    <row r="35" spans="1:2" x14ac:dyDescent="0.3">
      <c r="A35" t="n">
        <v>1.2525166355345672</v>
      </c>
      <c r="B35">
        <v>3.2822309121369832E-2</v>
      </c>
    </row>
    <row r="36" spans="1:2" x14ac:dyDescent="0.3">
      <c r="A36" t="n">
        <v>0.5840048503787585</v>
      </c>
      <c r="B36">
        <v>3.4595925353443163E-2</v>
      </c>
    </row>
    <row r="37" spans="1:2" x14ac:dyDescent="0.3">
      <c r="A37" t="n">
        <v>0.8194633619037942</v>
      </c>
      <c r="B37">
        <v>3.5292539875767734E-2</v>
      </c>
    </row>
    <row r="38" spans="1:2" x14ac:dyDescent="0.3">
      <c r="A38" t="n">
        <v>0.603358374901406</v>
      </c>
      <c r="B38">
        <v>3.5947221385566976E-2</v>
      </c>
    </row>
    <row r="39" spans="1:2" x14ac:dyDescent="0.3">
      <c r="A39" t="n">
        <v>0.3531990848819192</v>
      </c>
      <c r="B39">
        <v>3.8169635371221013E-2</v>
      </c>
    </row>
    <row r="40" spans="1:2" x14ac:dyDescent="0.3">
      <c r="A40" t="n">
        <v>0.44795571847032173</v>
      </c>
      <c r="B40">
        <v>3.9102419393565048E-2</v>
      </c>
    </row>
    <row r="41" spans="1:2" x14ac:dyDescent="0.3">
      <c r="A41" t="n">
        <v>1.1157670423035837</v>
      </c>
      <c r="B41">
        <v>3.9848450273539789E-2</v>
      </c>
    </row>
    <row r="42" spans="1:2" x14ac:dyDescent="0.3">
      <c r="A42" t="n">
        <v>0.33741581296093104</v>
      </c>
      <c r="B42">
        <v>4.1130596507862896E-2</v>
      </c>
    </row>
    <row r="43" spans="1:2" x14ac:dyDescent="0.3">
      <c r="A43" t="n">
        <v>0.9396066758631281</v>
      </c>
      <c r="B43">
        <v>4.448395930607757E-2</v>
      </c>
    </row>
    <row r="44" spans="1:2" x14ac:dyDescent="0.3">
      <c r="A44" t="n">
        <v>0.9356349107470999</v>
      </c>
      <c r="B44">
        <v>4.4527953116428404E-2</v>
      </c>
    </row>
    <row r="45" spans="1:2" x14ac:dyDescent="0.3">
      <c r="A45" t="n">
        <v>1.3480997838439863</v>
      </c>
      <c r="B45">
        <v>4.4729372097618667E-2</v>
      </c>
    </row>
    <row r="46" spans="1:2" x14ac:dyDescent="0.3">
      <c r="A46" t="n">
        <v>1.2724369770982817</v>
      </c>
      <c r="B46">
        <v>4.5894229824080909E-2</v>
      </c>
    </row>
    <row r="47" spans="1:2" x14ac:dyDescent="0.3">
      <c r="A47" t="n">
        <v>0.7107410888702886</v>
      </c>
      <c r="B47">
        <v>4.7320664692464626E-2</v>
      </c>
    </row>
    <row r="48" spans="1:2" x14ac:dyDescent="0.3">
      <c r="A48" t="n">
        <v>0.1435051727619566</v>
      </c>
      <c r="B48">
        <v>4.7531054860891007E-2</v>
      </c>
    </row>
    <row r="49" spans="1:2" x14ac:dyDescent="0.3">
      <c r="A49" t="n">
        <v>1.1219232926889715</v>
      </c>
      <c r="B49">
        <v>4.8177252782990891E-2</v>
      </c>
    </row>
    <row r="50" spans="1:2" x14ac:dyDescent="0.3">
      <c r="A50" t="n">
        <v>0.7244457465171968</v>
      </c>
      <c r="B50">
        <v>4.9215702653250669E-2</v>
      </c>
    </row>
    <row r="51" spans="1:2" x14ac:dyDescent="0.3">
      <c r="A51" t="n">
        <v>0.35041528789490145</v>
      </c>
      <c r="B51">
        <v>4.9216234562733295E-2</v>
      </c>
    </row>
    <row r="52" spans="1:2" x14ac:dyDescent="0.3">
      <c r="A52" t="n">
        <v>0.36813925679066223</v>
      </c>
      <c r="B52">
        <v>5.0334213911228685E-2</v>
      </c>
    </row>
    <row r="53" spans="1:2" x14ac:dyDescent="0.3">
      <c r="A53" t="n">
        <v>0.7177985438555082</v>
      </c>
      <c r="B53">
        <v>5.3328603707286731E-2</v>
      </c>
    </row>
    <row r="54" spans="1:2" x14ac:dyDescent="0.3">
      <c r="A54" t="n">
        <v>1.3737619978794662</v>
      </c>
      <c r="B54">
        <v>5.3366003810558879E-2</v>
      </c>
    </row>
    <row r="55" spans="1:2" x14ac:dyDescent="0.3">
      <c r="A55" t="n">
        <v>1.1893945288294654</v>
      </c>
      <c r="B55">
        <v>5.4969508788620107E-2</v>
      </c>
    </row>
    <row r="56" spans="1:2" x14ac:dyDescent="0.3">
      <c r="A56" t="n">
        <v>0.8966572914656397</v>
      </c>
      <c r="B56">
        <v>5.5998714420781963E-2</v>
      </c>
    </row>
    <row r="57" spans="1:2" x14ac:dyDescent="0.3">
      <c r="A57" t="n">
        <v>0.969947722218439</v>
      </c>
      <c r="B57">
        <v>5.6059969931295126E-2</v>
      </c>
    </row>
    <row r="58" spans="1:2" x14ac:dyDescent="0.3">
      <c r="A58" t="n">
        <v>1.2051912128735975</v>
      </c>
      <c r="B58">
        <v>5.8454705728098966E-2</v>
      </c>
    </row>
    <row r="59" spans="1:2" x14ac:dyDescent="0.3">
      <c r="A59" t="n">
        <v>1.1069878824437145</v>
      </c>
      <c r="B59">
        <v>5.868863970004172E-2</v>
      </c>
    </row>
    <row r="60" spans="1:2" x14ac:dyDescent="0.3">
      <c r="A60" t="n">
        <v>0.9234394687108665</v>
      </c>
      <c r="B60">
        <v>5.8893183146772825E-2</v>
      </c>
    </row>
    <row r="61" spans="1:2" x14ac:dyDescent="0.3">
      <c r="A61" t="n">
        <v>0.7520798996709825</v>
      </c>
      <c r="B61">
        <v>6.1176016287806313E-2</v>
      </c>
    </row>
    <row r="62" spans="1:2" x14ac:dyDescent="0.3">
      <c r="A62" t="n">
        <v>0.7211041379645738</v>
      </c>
      <c r="B62">
        <v>6.148923979862652E-2</v>
      </c>
    </row>
    <row r="63" spans="1:2" x14ac:dyDescent="0.3">
      <c r="A63" t="n">
        <v>1.2330044645117408</v>
      </c>
      <c r="B63">
        <v>6.4226118168546315E-2</v>
      </c>
    </row>
    <row r="64" spans="1:2" x14ac:dyDescent="0.3">
      <c r="A64" t="n">
        <v>0.21426701627359684</v>
      </c>
      <c r="B64">
        <v>6.7892405945082682E-2</v>
      </c>
    </row>
    <row r="65" spans="1:2" x14ac:dyDescent="0.3">
      <c r="A65" t="n">
        <v>0.5072461980038765</v>
      </c>
      <c r="B65">
        <v>6.9005838348327422E-2</v>
      </c>
    </row>
    <row r="66" spans="1:2" x14ac:dyDescent="0.3">
      <c r="A66" t="n">
        <v>1.07361867733129</v>
      </c>
      <c r="B66">
        <v>7.1114812712473718E-2</v>
      </c>
    </row>
    <row r="67" spans="1:2" x14ac:dyDescent="0.3">
      <c r="A67" t="n">
        <v>1.43245157193717</v>
      </c>
      <c r="B67">
        <v>7.1368336011811251E-2</v>
      </c>
    </row>
    <row r="68" spans="1:2" x14ac:dyDescent="0.3">
      <c r="A68" t="n">
        <v>0.8320708904583494</v>
      </c>
      <c r="B68">
        <v>7.1652825718575897E-2</v>
      </c>
    </row>
    <row r="69" spans="1:2" x14ac:dyDescent="0.3">
      <c r="A69" t="n">
        <v>0.9852490982751299</v>
      </c>
      <c r="B69">
        <v>7.1942389349441485E-2</v>
      </c>
    </row>
    <row r="70" spans="1:2" x14ac:dyDescent="0.3">
      <c r="A70" t="n">
        <v>1.0622968037108356</v>
      </c>
      <c r="B70">
        <v>7.6827946268117314E-2</v>
      </c>
    </row>
    <row r="71" spans="1:2" x14ac:dyDescent="0.3">
      <c r="A71" t="n">
        <v>0.6206535851559372</v>
      </c>
      <c r="B71">
        <v>7.7086448891275236E-2</v>
      </c>
    </row>
    <row r="72" spans="1:2" x14ac:dyDescent="0.3">
      <c r="A72" t="n">
        <v>0.4874938445144529</v>
      </c>
      <c r="B72">
        <v>7.7773823015258231E-2</v>
      </c>
    </row>
    <row r="73" spans="1:2" x14ac:dyDescent="0.3">
      <c r="A73" t="n">
        <v>0.6439177726707702</v>
      </c>
      <c r="B73">
        <v>7.7838481788531949E-2</v>
      </c>
    </row>
    <row r="74" spans="1:2" x14ac:dyDescent="0.3">
      <c r="A74" t="n">
        <v>1.327869574376394</v>
      </c>
      <c r="B74">
        <v>7.8945288134523547E-2</v>
      </c>
    </row>
    <row r="75" spans="1:2" x14ac:dyDescent="0.3">
      <c r="A75" t="n">
        <v>0.3349979861893993</v>
      </c>
      <c r="B75">
        <v>7.9019616661082231E-2</v>
      </c>
    </row>
    <row r="76" spans="1:2" x14ac:dyDescent="0.3">
      <c r="A76" t="n">
        <v>1.011743136756178</v>
      </c>
      <c r="B76">
        <v>7.992810434450022E-2</v>
      </c>
    </row>
    <row r="77" spans="1:2" x14ac:dyDescent="0.3">
      <c r="A77" t="n">
        <v>0.6124615281695693</v>
      </c>
      <c r="B77">
        <v>8.1702981523593066E-2</v>
      </c>
    </row>
    <row r="78" spans="1:2" x14ac:dyDescent="0.3">
      <c r="A78" t="n">
        <v>0.6294974646497352</v>
      </c>
      <c r="B78">
        <v>8.4703701654884223E-2</v>
      </c>
    </row>
    <row r="79" spans="1:2" x14ac:dyDescent="0.3">
      <c r="A79" t="n">
        <v>0.7858031694822358</v>
      </c>
      <c r="B79">
        <v>8.6037576453893941E-2</v>
      </c>
    </row>
    <row r="80" spans="1:2" x14ac:dyDescent="0.3">
      <c r="A80" t="n">
        <v>0.7385801666832816</v>
      </c>
      <c r="B80">
        <v>8.6449148272948251E-2</v>
      </c>
    </row>
    <row r="81" spans="1:2" x14ac:dyDescent="0.3">
      <c r="A81" t="n">
        <v>0.4810000205822941</v>
      </c>
      <c r="B81">
        <v>8.7001205790053451E-2</v>
      </c>
    </row>
    <row r="82" spans="1:2" x14ac:dyDescent="0.3">
      <c r="A82" t="n">
        <v>0.5725526938194136</v>
      </c>
      <c r="B82">
        <v>8.8270147045692499E-2</v>
      </c>
    </row>
    <row r="83" spans="1:2" x14ac:dyDescent="0.3">
      <c r="A83" t="n">
        <v>0.5375544002709479</v>
      </c>
      <c r="B83">
        <v>8.8766037679159943E-2</v>
      </c>
    </row>
    <row r="84" spans="1:2" x14ac:dyDescent="0.3">
      <c r="A84" t="n">
        <v>0.6582342834117801</v>
      </c>
      <c r="B84">
        <v>8.9614762350956209E-2</v>
      </c>
    </row>
    <row r="85" spans="1:2" x14ac:dyDescent="0.3">
      <c r="A85" t="n">
        <v>1.3892406483924424</v>
      </c>
      <c r="B85">
        <v>8.9815475210912321E-2</v>
      </c>
    </row>
    <row r="86" spans="1:2" x14ac:dyDescent="0.3">
      <c r="A86" t="n">
        <v>1.1217363340913902</v>
      </c>
      <c r="B86">
        <v>9.1322931566548776E-2</v>
      </c>
    </row>
    <row r="87" spans="1:2" x14ac:dyDescent="0.3">
      <c r="A87" t="n">
        <v>1.4144927362717836</v>
      </c>
      <c r="B87">
        <v>9.1682954358922791E-2</v>
      </c>
    </row>
    <row r="88" spans="1:2" x14ac:dyDescent="0.3">
      <c r="A88" t="n">
        <v>1.2412784801944237</v>
      </c>
      <c r="B88">
        <v>9.3099282892776733E-2</v>
      </c>
    </row>
    <row r="89" spans="1:2" x14ac:dyDescent="0.3">
      <c r="A89" t="n">
        <v>0.7742301073599182</v>
      </c>
      <c r="B89">
        <v>9.3920440247831083E-2</v>
      </c>
    </row>
    <row r="90" spans="1:2" x14ac:dyDescent="0.3">
      <c r="A90" t="n">
        <v>0.521924320172847</v>
      </c>
      <c r="B90">
        <v>9.3973753452226763E-2</v>
      </c>
    </row>
    <row r="91" spans="1:2" x14ac:dyDescent="0.3">
      <c r="A91" t="n">
        <v>0.832280780119544</v>
      </c>
      <c r="B91">
        <v>9.7336787541651149E-2</v>
      </c>
    </row>
    <row r="92" spans="1:2" x14ac:dyDescent="0.3">
      <c r="A92" t="n">
        <v>0.6182502269165419</v>
      </c>
      <c r="B92">
        <v>9.9419290902681076E-2</v>
      </c>
    </row>
    <row r="93" spans="1:2" x14ac:dyDescent="0.3">
      <c r="A93" t="n">
        <v>0.3456480224544249</v>
      </c>
      <c r="B93">
        <v>0.10047112784278683</v>
      </c>
    </row>
    <row r="94" spans="1:2" x14ac:dyDescent="0.3">
      <c r="A94" t="n">
        <v>1.3786151546023686</v>
      </c>
      <c r="B94">
        <v>0.10114992693574833</v>
      </c>
    </row>
    <row r="95" spans="1:2" x14ac:dyDescent="0.3">
      <c r="A95" t="n">
        <v>0.7165610491195836</v>
      </c>
      <c r="B95">
        <v>0.10305788453343431</v>
      </c>
    </row>
    <row r="96" spans="1:2" x14ac:dyDescent="0.3">
      <c r="A96" t="n">
        <v>0.8043844264850056</v>
      </c>
      <c r="B96">
        <v>0.10370248365489035</v>
      </c>
    </row>
    <row r="97" spans="1:2" x14ac:dyDescent="0.3">
      <c r="A97" t="n">
        <v>1.0513937384752023</v>
      </c>
      <c r="B97">
        <v>0.10445917616349264</v>
      </c>
    </row>
    <row r="98" spans="1:2" x14ac:dyDescent="0.3">
      <c r="A98" t="n">
        <v>0.5279028463098892</v>
      </c>
      <c r="B98">
        <v>0.10555390352111245</v>
      </c>
    </row>
    <row r="99" spans="1:2" x14ac:dyDescent="0.3">
      <c r="A99" t="n">
        <v>0.7179075378076653</v>
      </c>
      <c r="B99">
        <v>0.10722545117028029</v>
      </c>
    </row>
    <row r="100" spans="1:2" x14ac:dyDescent="0.3">
      <c r="A100" t="n">
        <v>0.725716249519859</v>
      </c>
      <c r="B100">
        <v>0.10825090630598214</v>
      </c>
    </row>
    <row r="101" spans="1:2" x14ac:dyDescent="0.3">
      <c r="A101" t="n">
        <v>0.9551473799843275</v>
      </c>
      <c r="B101">
        <v>0.11219397305610736</v>
      </c>
    </row>
    <row r="102" spans="1:2" x14ac:dyDescent="0.3">
      <c r="A102" t="n">
        <v>0.6273367350499557</v>
      </c>
      <c r="B102">
        <v>0.11434179640159746</v>
      </c>
    </row>
    <row r="103" spans="1:2" x14ac:dyDescent="0.3">
      <c r="A103" t="n">
        <v>0.6856772226903753</v>
      </c>
      <c r="B103">
        <v>0.11495829810514398</v>
      </c>
    </row>
    <row r="104" spans="1:2" x14ac:dyDescent="0.3">
      <c r="A104" t="n">
        <v>0.7083161525069523</v>
      </c>
      <c r="B104">
        <v>0.11559737987247776</v>
      </c>
    </row>
    <row r="105" spans="1:2" x14ac:dyDescent="0.3">
      <c r="A105" t="n">
        <v>0.8922643843200319</v>
      </c>
      <c r="B105">
        <v>0.11594682281046458</v>
      </c>
    </row>
    <row r="106" spans="1:2" x14ac:dyDescent="0.3">
      <c r="A106" t="n">
        <v>0.3498437174964489</v>
      </c>
      <c r="B106">
        <v>0.11609534818057213</v>
      </c>
    </row>
    <row r="107" spans="1:2" x14ac:dyDescent="0.3">
      <c r="A107" t="n">
        <v>0.5351189995480297</v>
      </c>
      <c r="B107">
        <v>0.11669264103706554</v>
      </c>
    </row>
    <row r="108" spans="1:2" x14ac:dyDescent="0.3">
      <c r="A108" t="n">
        <v>0.6128024863730703</v>
      </c>
      <c r="B108">
        <v>0.11802982013203443</v>
      </c>
    </row>
    <row r="109" spans="1:2" x14ac:dyDescent="0.3">
      <c r="A109" t="n">
        <v>1.0587288905787666</v>
      </c>
      <c r="B109">
        <v>0.12038169748795963</v>
      </c>
    </row>
    <row r="110" spans="1:2" x14ac:dyDescent="0.3">
      <c r="A110" t="n">
        <v>0.712810196404139</v>
      </c>
      <c r="B110">
        <v>0.12071665794671052</v>
      </c>
    </row>
    <row r="111" spans="1:2" x14ac:dyDescent="0.3">
      <c r="A111" t="n">
        <v>1.3896045568212598</v>
      </c>
      <c r="B111">
        <v>0.12340406503582001</v>
      </c>
    </row>
    <row r="112" spans="1:2" x14ac:dyDescent="0.3">
      <c r="A112" t="n">
        <v>0.759259092135763</v>
      </c>
      <c r="B112">
        <v>0.12380342419048507</v>
      </c>
    </row>
    <row r="113" spans="1:2" x14ac:dyDescent="0.3">
      <c r="A113" t="n">
        <v>0.8378779868058546</v>
      </c>
      <c r="B113">
        <v>0.12460868809748876</v>
      </c>
    </row>
    <row r="114" spans="1:2" x14ac:dyDescent="0.3">
      <c r="A114" t="n">
        <v>1.2514127341526105</v>
      </c>
      <c r="B114">
        <v>0.12890997874133417</v>
      </c>
    </row>
    <row r="115" spans="1:2" x14ac:dyDescent="0.3">
      <c r="A115" t="n">
        <v>1.1864657260665579</v>
      </c>
      <c r="B115">
        <v>0.12960288608493672</v>
      </c>
    </row>
    <row r="116" spans="1:2" x14ac:dyDescent="0.3">
      <c r="A116" t="n">
        <v>1.082460423296226</v>
      </c>
      <c r="B116">
        <v>0.1302606290700406</v>
      </c>
    </row>
    <row r="117" spans="1:2" x14ac:dyDescent="0.3">
      <c r="A117" t="n">
        <v>1.0250764628348128</v>
      </c>
      <c r="B117">
        <v>0.13033713317913875</v>
      </c>
    </row>
    <row r="118" spans="1:2" x14ac:dyDescent="0.3">
      <c r="A118" t="n">
        <v>1.375374707139936</v>
      </c>
      <c r="B118">
        <v>0.13062145047958096</v>
      </c>
    </row>
    <row r="119" spans="1:2" x14ac:dyDescent="0.3">
      <c r="A119" t="n">
        <v>0.6521033880182253</v>
      </c>
      <c r="B119">
        <v>0.13117780602105175</v>
      </c>
    </row>
    <row r="120" spans="1:2" x14ac:dyDescent="0.3">
      <c r="A120" t="n">
        <v>1.0178372845385386</v>
      </c>
      <c r="B120">
        <v>0.13343663786743803</v>
      </c>
    </row>
    <row r="121" spans="1:2" x14ac:dyDescent="0.3">
      <c r="A121" t="n">
        <v>0.16360952602440332</v>
      </c>
      <c r="B121">
        <v>0.13666204442469596</v>
      </c>
    </row>
    <row r="122" spans="1:2" x14ac:dyDescent="0.3">
      <c r="A122" t="n">
        <v>0.9424268244471808</v>
      </c>
      <c r="B122">
        <v>0.13710364676344608</v>
      </c>
    </row>
    <row r="123" spans="1:2" x14ac:dyDescent="0.3">
      <c r="A123" t="n">
        <v>0.39475265026838036</v>
      </c>
      <c r="B123">
        <v>0.1382358389003758</v>
      </c>
    </row>
    <row r="124" spans="1:2" x14ac:dyDescent="0.3">
      <c r="A124" t="n">
        <v>1.1104596618569156</v>
      </c>
      <c r="B124">
        <v>0.13868139104281982</v>
      </c>
    </row>
    <row r="125" spans="1:2" x14ac:dyDescent="0.3">
      <c r="A125" t="n">
        <v>0.8860749362977884</v>
      </c>
      <c r="B125">
        <v>0.14600961019710468</v>
      </c>
    </row>
    <row r="126" spans="1:2" x14ac:dyDescent="0.3">
      <c r="A126" t="n">
        <v>1.0099808010316682</v>
      </c>
      <c r="B126">
        <v>0.14818663730843049</v>
      </c>
    </row>
    <row r="127" spans="1:2" x14ac:dyDescent="0.3">
      <c r="A127" t="n">
        <v>0.90380041667474</v>
      </c>
      <c r="B127">
        <v>0.1487209102202382</v>
      </c>
    </row>
    <row r="128" spans="1:2" x14ac:dyDescent="0.3">
      <c r="A128" t="n">
        <v>1.6022238872562717</v>
      </c>
      <c r="B128">
        <v>0.14884425626408632</v>
      </c>
    </row>
    <row r="129" spans="1:2" x14ac:dyDescent="0.3">
      <c r="A129" t="n">
        <v>0.9782263335936051</v>
      </c>
      <c r="B129">
        <v>0.14908498988279401</v>
      </c>
    </row>
    <row r="130" spans="1:2" x14ac:dyDescent="0.3">
      <c r="A130" t="n">
        <v>0.9923388481405698</v>
      </c>
      <c r="B130">
        <v>0.14949087585399959</v>
      </c>
    </row>
    <row r="131" spans="1:2" x14ac:dyDescent="0.3">
      <c r="A131" t="n">
        <v>1.0533155242617684</v>
      </c>
      <c r="B131">
        <v>0.15239602567559221</v>
      </c>
    </row>
    <row r="132" spans="1:2" x14ac:dyDescent="0.3">
      <c r="A132" t="n">
        <v>0.8649533229716828</v>
      </c>
      <c r="B132">
        <v>0.15270786579398363</v>
      </c>
    </row>
    <row r="133" spans="1:2" x14ac:dyDescent="0.3">
      <c r="A133" t="n">
        <v>0.9336881557148289</v>
      </c>
      <c r="B133">
        <v>0.15375849811262954</v>
      </c>
    </row>
    <row r="134" spans="1:2" x14ac:dyDescent="0.3">
      <c r="A134" t="n">
        <v>0.7150515658999115</v>
      </c>
      <c r="B134">
        <v>0.15477749371637647</v>
      </c>
    </row>
    <row r="135" spans="1:2" x14ac:dyDescent="0.3">
      <c r="A135" t="n">
        <v>0.849589394103955</v>
      </c>
      <c r="B135">
        <v>0.15501424589024063</v>
      </c>
    </row>
    <row r="136" spans="1:2" x14ac:dyDescent="0.3">
      <c r="A136" t="n">
        <v>0.5025668955497352</v>
      </c>
      <c r="B136">
        <v>0.15725064933176752</v>
      </c>
    </row>
    <row r="137" spans="1:2" x14ac:dyDescent="0.3">
      <c r="A137" t="n">
        <v>0.9470199001879185</v>
      </c>
      <c r="B137">
        <v>0.15838751703696735</v>
      </c>
    </row>
    <row r="138" spans="1:2" x14ac:dyDescent="0.3">
      <c r="A138" t="n">
        <v>1.279063386312055</v>
      </c>
      <c r="B138">
        <v>0.15884097632374594</v>
      </c>
    </row>
    <row r="139" spans="1:2" x14ac:dyDescent="0.3">
      <c r="A139" t="n">
        <v>0.7703278213182518</v>
      </c>
      <c r="B139">
        <v>0.16197392139123321</v>
      </c>
    </row>
    <row r="140" spans="1:2" x14ac:dyDescent="0.3">
      <c r="A140" t="n">
        <v>0.4936416000400448</v>
      </c>
      <c r="B140">
        <v>0.16283752235999607</v>
      </c>
    </row>
    <row r="141" spans="1:2" x14ac:dyDescent="0.3">
      <c r="A141" t="n">
        <v>1.176932032014533</v>
      </c>
      <c r="B141">
        <v>0.16538137362883809</v>
      </c>
    </row>
    <row r="142" spans="1:2" x14ac:dyDescent="0.3">
      <c r="A142" t="n">
        <v>1.4125918424317176</v>
      </c>
      <c r="B142">
        <v>0.16570707882151314</v>
      </c>
    </row>
    <row r="143" spans="1:2" x14ac:dyDescent="0.3">
      <c r="A143" t="n">
        <v>0.42015627972217284</v>
      </c>
      <c r="B143">
        <v>0.16618556548113866</v>
      </c>
    </row>
    <row r="144" spans="1:2" x14ac:dyDescent="0.3">
      <c r="A144" t="n">
        <v>1.1034292843127242</v>
      </c>
      <c r="B144">
        <v>0.16687397794693737</v>
      </c>
    </row>
    <row r="145" spans="1:2" x14ac:dyDescent="0.3">
      <c r="A145" t="n">
        <v>0.5641792960446148</v>
      </c>
      <c r="B145">
        <v>0.16752884824575337</v>
      </c>
    </row>
    <row r="146" spans="1:2" x14ac:dyDescent="0.3">
      <c r="A146" t="n">
        <v>0.8761294375595844</v>
      </c>
      <c r="B146">
        <v>0.17081302134509632</v>
      </c>
    </row>
    <row r="147" spans="1:2" x14ac:dyDescent="0.3">
      <c r="A147" t="n">
        <v>0.9569376468558412</v>
      </c>
      <c r="B147">
        <v>0.17131131420630416</v>
      </c>
    </row>
    <row r="148" spans="1:2" x14ac:dyDescent="0.3">
      <c r="A148" t="n">
        <v>1.1192084083978797</v>
      </c>
      <c r="B148">
        <v>0.17391068102219009</v>
      </c>
    </row>
    <row r="149" spans="1:2" x14ac:dyDescent="0.3">
      <c r="A149" t="n">
        <v>1.2375632982213014</v>
      </c>
      <c r="B149">
        <v>0.17394107142798534</v>
      </c>
    </row>
    <row r="150" spans="1:2" x14ac:dyDescent="0.3">
      <c r="A150" t="n">
        <v>0.6583756940682469</v>
      </c>
      <c r="B150">
        <v>0.17520009320666097</v>
      </c>
    </row>
    <row r="151" spans="1:2" x14ac:dyDescent="0.3">
      <c r="A151" t="n">
        <v>1.0922356325696065</v>
      </c>
      <c r="B151">
        <v>0.17616893744900225</v>
      </c>
    </row>
    <row r="152" spans="1:2" x14ac:dyDescent="0.3">
      <c r="A152" t="n">
        <v>0.777497108778908</v>
      </c>
      <c r="B152">
        <v>0.17629335140533645</v>
      </c>
    </row>
    <row r="153" spans="1:2" x14ac:dyDescent="0.3">
      <c r="A153" t="n">
        <v>0.9482714615992898</v>
      </c>
      <c r="B153">
        <v>0.1782385415652723</v>
      </c>
    </row>
    <row r="154" spans="1:2" x14ac:dyDescent="0.3">
      <c r="A154" t="n">
        <v>0.9293994637935565</v>
      </c>
      <c r="B154">
        <v>0.17867608885927236</v>
      </c>
    </row>
    <row r="155" spans="1:2" x14ac:dyDescent="0.3">
      <c r="A155" t="n">
        <v>0.7367224143724029</v>
      </c>
      <c r="B155">
        <v>0.17996907525495723</v>
      </c>
    </row>
    <row r="156" spans="1:2" x14ac:dyDescent="0.3">
      <c r="A156" t="n">
        <v>0.8989714004836094</v>
      </c>
      <c r="B156">
        <v>0.1807518822859164</v>
      </c>
    </row>
    <row r="157" spans="1:2" x14ac:dyDescent="0.3">
      <c r="A157" t="n">
        <v>1.1802763247548536</v>
      </c>
      <c r="B157">
        <v>0.18191977871628121</v>
      </c>
    </row>
    <row r="158" spans="1:2" x14ac:dyDescent="0.3">
      <c r="A158" t="n">
        <v>1.0009345200384936</v>
      </c>
      <c r="B158">
        <v>0.18373718569911196</v>
      </c>
    </row>
    <row r="159" spans="1:2" x14ac:dyDescent="0.3">
      <c r="A159" t="n">
        <v>0.5467103172466291</v>
      </c>
      <c r="B159">
        <v>0.1856887567909091</v>
      </c>
    </row>
    <row r="160" spans="1:2" x14ac:dyDescent="0.3">
      <c r="A160" t="n">
        <v>0.939701797244197</v>
      </c>
      <c r="B160">
        <v>0.1872160422553294</v>
      </c>
    </row>
    <row r="161" spans="1:2" x14ac:dyDescent="0.3">
      <c r="A161" t="n">
        <v>0.9194781034699082</v>
      </c>
      <c r="B161">
        <v>0.18955428695430518</v>
      </c>
    </row>
    <row r="162" spans="1:2" x14ac:dyDescent="0.3">
      <c r="A162" t="n">
        <v>1.0434001644655844</v>
      </c>
      <c r="B162">
        <v>0.19062315451342657</v>
      </c>
    </row>
    <row r="163" spans="1:2" x14ac:dyDescent="0.3">
      <c r="A163" t="n">
        <v>1.0477426283132665</v>
      </c>
      <c r="B163">
        <v>0.19615964255777546</v>
      </c>
    </row>
    <row r="164" spans="1:2" x14ac:dyDescent="0.3">
      <c r="A164" t="n">
        <v>1.3430210973160628</v>
      </c>
      <c r="B164">
        <v>0.2001770750479529</v>
      </c>
    </row>
    <row r="165" spans="1:2" x14ac:dyDescent="0.3">
      <c r="A165" t="n">
        <v>1.1365570977623312</v>
      </c>
      <c r="B165">
        <v>0.20038763513480995</v>
      </c>
    </row>
    <row r="166" spans="1:2" x14ac:dyDescent="0.3">
      <c r="A166" t="n">
        <v>0.624392713206704</v>
      </c>
      <c r="B166">
        <v>0.2018834140938533</v>
      </c>
    </row>
    <row r="167" spans="1:2" x14ac:dyDescent="0.3">
      <c r="A167" t="n">
        <v>1.0231369365310863</v>
      </c>
      <c r="B167">
        <v>0.20220206427185428</v>
      </c>
    </row>
    <row r="168" spans="1:2" x14ac:dyDescent="0.3">
      <c r="A168" t="n">
        <v>0.4347385607219901</v>
      </c>
      <c r="B168">
        <v>0.20311272953492596</v>
      </c>
    </row>
    <row r="169" spans="1:2" x14ac:dyDescent="0.3">
      <c r="A169" t="n">
        <v>1.0883410542629137</v>
      </c>
      <c r="B169">
        <v>0.20446158964657277</v>
      </c>
    </row>
    <row r="170" spans="1:2" x14ac:dyDescent="0.3">
      <c r="A170" t="n">
        <v>1.3055948434108875</v>
      </c>
      <c r="B170">
        <v>0.20528262330370897</v>
      </c>
    </row>
    <row r="171" spans="1:2" x14ac:dyDescent="0.3">
      <c r="A171" t="n">
        <v>0.5891689253637852</v>
      </c>
      <c r="B171">
        <v>0.20764850728458578</v>
      </c>
    </row>
    <row r="172" spans="1:2" x14ac:dyDescent="0.3">
      <c r="A172" t="n">
        <v>1.612631080052129</v>
      </c>
      <c r="B172">
        <v>0.20839092159630382</v>
      </c>
    </row>
    <row r="173" spans="1:2" x14ac:dyDescent="0.3">
      <c r="A173" t="n">
        <v>0.8596742680358903</v>
      </c>
      <c r="B173">
        <v>0.20894926998912644</v>
      </c>
    </row>
    <row r="174" spans="1:2" x14ac:dyDescent="0.3">
      <c r="A174" t="n">
        <v>0.6370249914145961</v>
      </c>
      <c r="B174">
        <v>0.21194571648011287</v>
      </c>
    </row>
    <row r="175" spans="1:2" x14ac:dyDescent="0.3">
      <c r="A175" t="n">
        <v>0.8019866384889176</v>
      </c>
      <c r="B175">
        <v>0.21693576857184288</v>
      </c>
    </row>
    <row r="176" spans="1:2" x14ac:dyDescent="0.3">
      <c r="A176" t="n">
        <v>0.9921136187946951</v>
      </c>
      <c r="B176">
        <v>0.22057714662927164</v>
      </c>
    </row>
    <row r="177" spans="1:2" x14ac:dyDescent="0.3">
      <c r="A177" t="n">
        <v>0.7768382679824742</v>
      </c>
      <c r="B177">
        <v>0.22381858152935497</v>
      </c>
    </row>
    <row r="178" spans="1:2" x14ac:dyDescent="0.3">
      <c r="A178" t="n">
        <v>0.9560638531055216</v>
      </c>
      <c r="B178">
        <v>0.22483862677732674</v>
      </c>
    </row>
    <row r="179" spans="1:2" x14ac:dyDescent="0.3">
      <c r="A179" t="n">
        <v>1.0600242328918885</v>
      </c>
      <c r="B179">
        <v>0.23277455873668113</v>
      </c>
    </row>
    <row r="180" spans="1:2" x14ac:dyDescent="0.3">
      <c r="A180" t="n">
        <v>1.2549690755859098</v>
      </c>
      <c r="B180">
        <v>0.23616265257357455</v>
      </c>
    </row>
    <row r="181" spans="1:2" x14ac:dyDescent="0.3">
      <c r="A181" t="n">
        <v>0.3876057721887715</v>
      </c>
      <c r="B181">
        <v>0.23684013755652658</v>
      </c>
    </row>
    <row r="182" spans="1:2" x14ac:dyDescent="0.3">
      <c r="A182" t="n">
        <v>1.0325746517356358</v>
      </c>
      <c r="B182">
        <v>0.23808664638638341</v>
      </c>
    </row>
    <row r="183" spans="1:2" x14ac:dyDescent="0.3">
      <c r="A183" t="n">
        <v>0.7826214305494403</v>
      </c>
      <c r="B183">
        <v>0.23844548712740987</v>
      </c>
    </row>
    <row r="184" spans="1:2" x14ac:dyDescent="0.3">
      <c r="A184" t="n">
        <v>0.21646586924965913</v>
      </c>
      <c r="B184">
        <v>0.2430948747205397</v>
      </c>
    </row>
    <row r="185" spans="1:2" x14ac:dyDescent="0.3">
      <c r="A185" t="n">
        <v>1.0151478941616692</v>
      </c>
      <c r="B185">
        <v>0.24402923115928421</v>
      </c>
    </row>
    <row r="186" spans="1:2" x14ac:dyDescent="0.3">
      <c r="A186" t="n">
        <v>1.118667472415741</v>
      </c>
      <c r="B186">
        <v>0.24541899284782764</v>
      </c>
    </row>
    <row r="187" spans="1:2" x14ac:dyDescent="0.3">
      <c r="A187" t="n">
        <v>0.743639278691897</v>
      </c>
      <c r="B187">
        <v>0.24545081985530648</v>
      </c>
    </row>
    <row r="188" spans="1:2" x14ac:dyDescent="0.3">
      <c r="A188" t="n">
        <v>1.3289227196609412</v>
      </c>
      <c r="B188">
        <v>0.24598625334568636</v>
      </c>
    </row>
    <row r="189" spans="1:2" x14ac:dyDescent="0.3">
      <c r="A189" t="n">
        <v>0.9462149644109358</v>
      </c>
      <c r="B189">
        <v>0.24662020591951314</v>
      </c>
    </row>
    <row r="190" spans="1:2" x14ac:dyDescent="0.3">
      <c r="A190" t="n">
        <v>0.37078473393296874</v>
      </c>
      <c r="B190">
        <v>0.25087549887010246</v>
      </c>
    </row>
    <row r="191" spans="1:2" x14ac:dyDescent="0.3">
      <c r="A191" t="n">
        <v>1.091343096123283</v>
      </c>
      <c r="B191">
        <v>0.25149547913393533</v>
      </c>
    </row>
    <row r="192" spans="1:2" x14ac:dyDescent="0.3">
      <c r="A192" t="n">
        <v>0.7069546165850493</v>
      </c>
      <c r="B192">
        <v>0.25163481976870972</v>
      </c>
    </row>
    <row r="193" spans="1:2" x14ac:dyDescent="0.3">
      <c r="A193" t="n">
        <v>1.342551197655943</v>
      </c>
      <c r="B193">
        <v>0.25486850866719163</v>
      </c>
    </row>
    <row r="194" spans="1:2" x14ac:dyDescent="0.3">
      <c r="A194" t="n">
        <v>1.1964715374846684</v>
      </c>
      <c r="B194">
        <v>0.25559661879491874</v>
      </c>
    </row>
    <row r="195" spans="1:2" x14ac:dyDescent="0.3">
      <c r="A195" t="n">
        <v>0.812963129053123</v>
      </c>
      <c r="B195">
        <v>0.2559073085177957</v>
      </c>
    </row>
    <row r="196" spans="1:2" x14ac:dyDescent="0.3">
      <c r="A196" t="n">
        <v>0.38997574924345463</v>
      </c>
      <c r="B196">
        <v>0.25681617964990239</v>
      </c>
    </row>
    <row r="197" spans="1:2" x14ac:dyDescent="0.3">
      <c r="A197" t="n">
        <v>0.6400889804033345</v>
      </c>
      <c r="B197">
        <v>0.2600579614419169</v>
      </c>
    </row>
    <row r="198" spans="1:2" x14ac:dyDescent="0.3">
      <c r="A198" t="n">
        <v>0.6051180634507787</v>
      </c>
      <c r="B198">
        <v>0.26010439084373865</v>
      </c>
    </row>
    <row r="199" spans="1:2" x14ac:dyDescent="0.3">
      <c r="A199" t="n">
        <v>0.6158846393343986</v>
      </c>
      <c r="B199">
        <v>0.26790625751917019</v>
      </c>
    </row>
    <row r="200" spans="1:2" x14ac:dyDescent="0.3">
      <c r="A200" t="n">
        <v>1.1278187464780416</v>
      </c>
      <c r="B200">
        <v>0.27552282792693955</v>
      </c>
    </row>
    <row r="201" spans="1:2" x14ac:dyDescent="0.3">
      <c r="A201" t="n">
        <v>1.0188749613333752</v>
      </c>
      <c r="B201">
        <v>0.28119746163178266</v>
      </c>
    </row>
    <row r="202" spans="1:2" x14ac:dyDescent="0.3">
      <c r="A202" t="n">
        <v>0.760387240467941</v>
      </c>
      <c r="B202">
        <v>0.28385145480369517</v>
      </c>
    </row>
    <row r="203" spans="1:2" x14ac:dyDescent="0.3">
      <c r="A203" t="n">
        <v>0.8799865887756803</v>
      </c>
      <c r="B203">
        <v>0.2865836691941992</v>
      </c>
    </row>
    <row r="204" spans="1:2" x14ac:dyDescent="0.3">
      <c r="A204" t="n">
        <v>0.6950528509792435</v>
      </c>
      <c r="B204">
        <v>0.29069329323636484</v>
      </c>
    </row>
    <row r="205" spans="1:2" x14ac:dyDescent="0.3">
      <c r="A205" t="n">
        <v>0.8080441082862736</v>
      </c>
      <c r="B205">
        <v>0.29425994562912378</v>
      </c>
    </row>
    <row r="206" spans="1:2" x14ac:dyDescent="0.3">
      <c r="A206" t="n">
        <v>1.0674392978132536</v>
      </c>
      <c r="B206">
        <v>0.29505039499140301</v>
      </c>
    </row>
    <row r="207" spans="1:2" x14ac:dyDescent="0.3">
      <c r="A207" t="n">
        <v>0.9235456524477094</v>
      </c>
      <c r="B207">
        <v>0.30318887496671765</v>
      </c>
    </row>
    <row r="208" spans="1:2" x14ac:dyDescent="0.3">
      <c r="A208" t="n">
        <v>0.9474916089479051</v>
      </c>
      <c r="B208">
        <v>0.30636436209570311</v>
      </c>
    </row>
    <row r="209" spans="1:2" x14ac:dyDescent="0.3">
      <c r="A209" t="n">
        <v>0.904623880469734</v>
      </c>
      <c r="B209">
        <v>0.30668722473751542</v>
      </c>
    </row>
    <row r="210" spans="1:2" x14ac:dyDescent="0.3">
      <c r="A210" t="n">
        <v>0.828477748113813</v>
      </c>
      <c r="B210">
        <v>0.31427714655726124</v>
      </c>
    </row>
    <row r="211" spans="1:2" x14ac:dyDescent="0.3">
      <c r="A211" t="n">
        <v>0.8406717415777357</v>
      </c>
      <c r="B211">
        <v>0.321375141076371</v>
      </c>
    </row>
    <row r="212" spans="1:2" x14ac:dyDescent="0.3">
      <c r="A212" t="n">
        <v>0.4566967776323279</v>
      </c>
      <c r="B212">
        <v>0.32647412158413108</v>
      </c>
    </row>
    <row r="213" spans="1:2" x14ac:dyDescent="0.3">
      <c r="A213" t="n">
        <v>0.961913778468325</v>
      </c>
      <c r="B213">
        <v>0.32723211589973633</v>
      </c>
    </row>
    <row r="214" spans="1:2" x14ac:dyDescent="0.3">
      <c r="A214" t="n">
        <v>0.5750529792287122</v>
      </c>
      <c r="B214">
        <v>0.3307992750532574</v>
      </c>
    </row>
    <row r="215" spans="1:2" x14ac:dyDescent="0.3">
      <c r="A215" t="n">
        <v>0.9411853045534064</v>
      </c>
      <c r="B215">
        <v>0.33578642741767023</v>
      </c>
    </row>
    <row r="216" spans="1:2" x14ac:dyDescent="0.3">
      <c r="A216" t="n">
        <v>0.7829267314748836</v>
      </c>
      <c r="B216">
        <v>0.33998321993039199</v>
      </c>
    </row>
    <row r="217" spans="1:2" x14ac:dyDescent="0.3">
      <c r="A217" t="n">
        <v>0.9174529787839492</v>
      </c>
      <c r="B217">
        <v>0.34143129618907914</v>
      </c>
    </row>
    <row r="218" spans="1:2" x14ac:dyDescent="0.3">
      <c r="A218" t="n">
        <v>0.7596983982392417</v>
      </c>
      <c r="B218">
        <v>0.34193836804217576</v>
      </c>
    </row>
    <row r="219" spans="1:2" x14ac:dyDescent="0.3">
      <c r="A219" t="n">
        <v>0.659036868134692</v>
      </c>
      <c r="B219">
        <v>0.3444670632444306</v>
      </c>
    </row>
    <row r="220" spans="1:2" x14ac:dyDescent="0.3">
      <c r="A220" t="n">
        <v>1.2840014829167707</v>
      </c>
      <c r="B220">
        <v>0.3460385811266522</v>
      </c>
    </row>
    <row r="221" spans="1:2" x14ac:dyDescent="0.3">
      <c r="A221" t="n">
        <v>0.5080203968204365</v>
      </c>
      <c r="B221">
        <v>0.34736856963228319</v>
      </c>
    </row>
    <row r="222" spans="1:2" x14ac:dyDescent="0.3">
      <c r="A222" t="n">
        <v>0.8975057467839028</v>
      </c>
      <c r="B222">
        <v>0.34894353784969823</v>
      </c>
    </row>
    <row r="223" spans="1:2" x14ac:dyDescent="0.3">
      <c r="A223" t="n">
        <v>0.7538877594351433</v>
      </c>
      <c r="B223">
        <v>0.35191838893809968</v>
      </c>
    </row>
    <row r="224" spans="1:2" x14ac:dyDescent="0.3">
      <c r="A224" t="n">
        <v>0.31529718599742457</v>
      </c>
      <c r="B224">
        <v>0.35283799917985831</v>
      </c>
    </row>
    <row r="225" spans="1:2" x14ac:dyDescent="0.3">
      <c r="A225" t="n">
        <v>1.039157530373717</v>
      </c>
      <c r="B225">
        <v>0.35334185828283549</v>
      </c>
    </row>
    <row r="226" spans="1:2" x14ac:dyDescent="0.3">
      <c r="A226" t="n">
        <v>1.2106105962455944</v>
      </c>
      <c r="B226">
        <v>0.3577163788474042</v>
      </c>
    </row>
    <row r="227" spans="1:2" x14ac:dyDescent="0.3">
      <c r="A227" t="n">
        <v>1.1214750007717431</v>
      </c>
      <c r="B227">
        <v>0.35926493001985915</v>
      </c>
    </row>
    <row r="228" spans="1:2" x14ac:dyDescent="0.3">
      <c r="A228" t="n">
        <v>1.1988212103837168</v>
      </c>
      <c r="B228">
        <v>0.3620738782755108</v>
      </c>
    </row>
    <row r="229" spans="1:2" x14ac:dyDescent="0.3">
      <c r="A229" t="n">
        <v>0.8375990870407143</v>
      </c>
      <c r="B229">
        <v>0.36835789163390159</v>
      </c>
    </row>
    <row r="230" spans="1:2" x14ac:dyDescent="0.3">
      <c r="A230" t="n">
        <v>0.6251101323036393</v>
      </c>
      <c r="B230">
        <v>0.37018292836858452</v>
      </c>
    </row>
    <row r="231" spans="1:2" x14ac:dyDescent="0.3">
      <c r="A231" t="n">
        <v>1.04080452357727</v>
      </c>
      <c r="B231">
        <v>0.37027633518312414</v>
      </c>
    </row>
    <row r="232" spans="1:2" x14ac:dyDescent="0.3">
      <c r="A232" t="n">
        <v>0.6822333754380119</v>
      </c>
      <c r="B232">
        <v>0.3731342620722643</v>
      </c>
    </row>
    <row r="233" spans="1:2" x14ac:dyDescent="0.3">
      <c r="A233" t="n">
        <v>0.958052769737377</v>
      </c>
      <c r="B233">
        <v>0.37478465608437161</v>
      </c>
    </row>
    <row r="234" spans="1:2" x14ac:dyDescent="0.3">
      <c r="A234" t="n">
        <v>0.8923555106254121</v>
      </c>
      <c r="B234">
        <v>0.37564587829443657</v>
      </c>
    </row>
    <row r="235" spans="1:2" x14ac:dyDescent="0.3">
      <c r="A235" t="n">
        <v>0.832627460035433</v>
      </c>
      <c r="B235">
        <v>0.37744851325137924</v>
      </c>
    </row>
    <row r="236" spans="1:2" x14ac:dyDescent="0.3">
      <c r="A236" t="n">
        <v>0.8500246269389559</v>
      </c>
      <c r="B236">
        <v>0.38518062536312564</v>
      </c>
    </row>
    <row r="237" spans="1:2" x14ac:dyDescent="0.3">
      <c r="A237" t="n">
        <v>1.117933428041613</v>
      </c>
      <c r="B237">
        <v>0.38810654011836343</v>
      </c>
    </row>
    <row r="238" spans="1:2" x14ac:dyDescent="0.3">
      <c r="A238" t="n">
        <v>0.9328559782931115</v>
      </c>
      <c r="B238">
        <v>0.38932022770991437</v>
      </c>
    </row>
    <row r="239" spans="1:2" x14ac:dyDescent="0.3">
      <c r="A239" t="n">
        <v>0.9554483897177142</v>
      </c>
      <c r="B239">
        <v>0.39050235698544761</v>
      </c>
    </row>
    <row r="240" spans="1:2" x14ac:dyDescent="0.3">
      <c r="A240" t="n">
        <v>0.5133445139339475</v>
      </c>
      <c r="B240">
        <v>0.39403516504262365</v>
      </c>
    </row>
    <row r="241" spans="1:2" x14ac:dyDescent="0.3">
      <c r="A241" t="n">
        <v>0.6152395661502041</v>
      </c>
      <c r="B241">
        <v>0.39613631054121901</v>
      </c>
    </row>
    <row r="242" spans="1:2" x14ac:dyDescent="0.3">
      <c r="A242" t="n">
        <v>0.5651778899917098</v>
      </c>
      <c r="B242">
        <v>0.40655270200986754</v>
      </c>
    </row>
    <row r="243" spans="1:2" x14ac:dyDescent="0.3">
      <c r="A243" t="n">
        <v>0.6959575550831789</v>
      </c>
      <c r="B243">
        <v>0.40925501631857564</v>
      </c>
    </row>
    <row r="244" spans="1:2" x14ac:dyDescent="0.3">
      <c r="A244" t="n">
        <v>0.6905004831992497</v>
      </c>
      <c r="B244">
        <v>0.41015592734210732</v>
      </c>
    </row>
    <row r="245" spans="1:2" x14ac:dyDescent="0.3">
      <c r="A245" t="n">
        <v>1.2069654769249907</v>
      </c>
      <c r="B245">
        <v>0.41630357266280604</v>
      </c>
    </row>
    <row r="246" spans="1:2" x14ac:dyDescent="0.3">
      <c r="A246" t="n">
        <v>0.626594897597922</v>
      </c>
      <c r="B246">
        <v>0.42346555124071855</v>
      </c>
    </row>
    <row r="247" spans="1:2" x14ac:dyDescent="0.3">
      <c r="A247" t="n">
        <v>0.8760423738353917</v>
      </c>
      <c r="B247">
        <v>0.42813470093431599</v>
      </c>
    </row>
    <row r="248" spans="1:2" x14ac:dyDescent="0.3">
      <c r="A248" t="n">
        <v>0.782646868967049</v>
      </c>
      <c r="B248">
        <v>0.42919497020589764</v>
      </c>
    </row>
    <row r="249" spans="1:2" x14ac:dyDescent="0.3">
      <c r="A249" t="n">
        <v>0.9247115114737887</v>
      </c>
      <c r="B249">
        <v>0.43117907738120648</v>
      </c>
    </row>
    <row r="250" spans="1:2" x14ac:dyDescent="0.3">
      <c r="A250" t="n">
        <v>0.5660738686568797</v>
      </c>
      <c r="B250">
        <v>0.43188226317993145</v>
      </c>
    </row>
    <row r="251" spans="1:2" x14ac:dyDescent="0.3">
      <c r="A251" t="n">
        <v>0.5305701011458885</v>
      </c>
      <c r="B251">
        <v>0.43201641539908525</v>
      </c>
    </row>
    <row r="252" spans="1:2" x14ac:dyDescent="0.3">
      <c r="A252" t="n">
        <v>0.6746651313605839</v>
      </c>
      <c r="B252">
        <v>0.43402584201136757</v>
      </c>
    </row>
    <row r="253" spans="1:2" x14ac:dyDescent="0.3">
      <c r="A253" t="n">
        <v>0.7072802693474197</v>
      </c>
      <c r="B253">
        <v>0.43435242722986095</v>
      </c>
    </row>
    <row r="254" spans="1:2" x14ac:dyDescent="0.3">
      <c r="A254" t="n">
        <v>0.42092557351905996</v>
      </c>
      <c r="B254">
        <v>0.44049197642130822</v>
      </c>
    </row>
    <row r="255" spans="1:2" x14ac:dyDescent="0.3">
      <c r="A255" t="n">
        <v>1.5472750626143654</v>
      </c>
      <c r="B255">
        <v>0.44253214968676385</v>
      </c>
    </row>
    <row r="256" spans="1:2" x14ac:dyDescent="0.3">
      <c r="A256" t="n">
        <v>1.2570404400734367</v>
      </c>
      <c r="B256">
        <v>0.44340801886009101</v>
      </c>
    </row>
    <row r="257" spans="1:2" x14ac:dyDescent="0.3">
      <c r="A257" t="n">
        <v>0.3832387500417908</v>
      </c>
      <c r="B257">
        <v>0.44596494434352718</v>
      </c>
    </row>
    <row r="258" spans="1:2" x14ac:dyDescent="0.3">
      <c r="A258" t="n">
        <v>0.5309425675376502</v>
      </c>
      <c r="B258">
        <v>0.44817173081493034</v>
      </c>
    </row>
    <row r="259" spans="1:2" x14ac:dyDescent="0.3">
      <c r="A259" t="n">
        <v>1.458192962039758</v>
      </c>
      <c r="B259">
        <v>0.45487704493474695</v>
      </c>
    </row>
    <row r="260" spans="1:2" x14ac:dyDescent="0.3">
      <c r="A260" t="n">
        <v>0.8910587467021497</v>
      </c>
      <c r="B260">
        <v>0.47045257248021882</v>
      </c>
    </row>
    <row r="261" spans="1:2" x14ac:dyDescent="0.3">
      <c r="A261" t="n">
        <v>1.2775498146665671</v>
      </c>
      <c r="B261">
        <v>0.47323801720621478</v>
      </c>
    </row>
    <row r="262" spans="1:2" x14ac:dyDescent="0.3">
      <c r="A262" t="n">
        <v>1.2140098856406285</v>
      </c>
      <c r="B262">
        <v>0.48366422106475671</v>
      </c>
    </row>
    <row r="263" spans="1:2" x14ac:dyDescent="0.3">
      <c r="A263" t="n">
        <v>0.7910936704881749</v>
      </c>
      <c r="B263">
        <v>0.48480650920796886</v>
      </c>
    </row>
    <row r="264" spans="1:2" x14ac:dyDescent="0.3">
      <c r="A264" t="n">
        <v>0.9105139251113867</v>
      </c>
      <c r="B264">
        <v>0.49139654866221666</v>
      </c>
    </row>
    <row r="265" spans="1:2" x14ac:dyDescent="0.3">
      <c r="A265" t="n">
        <v>1.1895343728144885</v>
      </c>
      <c r="B265">
        <v>0.49593835969065053</v>
      </c>
    </row>
    <row r="266" spans="1:2" x14ac:dyDescent="0.3">
      <c r="A266" t="n">
        <v>0.6662938765244841</v>
      </c>
      <c r="B266">
        <v>0.51485549900868488</v>
      </c>
    </row>
    <row r="267" spans="1:2" x14ac:dyDescent="0.3">
      <c r="A267" t="n">
        <v>0.7373030838188894</v>
      </c>
      <c r="B267">
        <v>0.52642233383979675</v>
      </c>
    </row>
    <row r="268" spans="1:2" x14ac:dyDescent="0.3">
      <c r="A268" t="n">
        <v>1.1640526584478121</v>
      </c>
      <c r="B268">
        <v>0.52694886714321032</v>
      </c>
    </row>
    <row r="269" spans="1:2" x14ac:dyDescent="0.3">
      <c r="A269" t="n">
        <v>1.1963849052641475</v>
      </c>
      <c r="B269">
        <v>0.5300512400634616</v>
      </c>
    </row>
    <row r="270" spans="1:2" x14ac:dyDescent="0.3">
      <c r="A270" t="n">
        <v>0.654500947832313</v>
      </c>
      <c r="B270">
        <v>0.54542340887468632</v>
      </c>
    </row>
    <row r="271" spans="1:2" x14ac:dyDescent="0.3">
      <c r="A271" t="n">
        <v>1.1682451167302488</v>
      </c>
      <c r="B271">
        <v>0.56223196293374533</v>
      </c>
    </row>
    <row r="272" spans="1:2" x14ac:dyDescent="0.3">
      <c r="A272" t="n">
        <v>0.744988565735728</v>
      </c>
      <c r="B272">
        <v>0.56519631861416753</v>
      </c>
    </row>
    <row r="273" spans="1:2" x14ac:dyDescent="0.3">
      <c r="A273" t="n">
        <v>0.5127292984294336</v>
      </c>
      <c r="B273">
        <v>0.58885240392059757</v>
      </c>
    </row>
    <row r="274" spans="1:2" x14ac:dyDescent="0.3">
      <c r="A274" t="n">
        <v>0.7548371252330126</v>
      </c>
      <c r="B274">
        <v>0.59535884237212444</v>
      </c>
    </row>
    <row r="275" spans="1:2" x14ac:dyDescent="0.3">
      <c r="A275" t="n">
        <v>0.8857896803112805</v>
      </c>
      <c r="B275">
        <v>0.59900214495463755</v>
      </c>
    </row>
    <row r="276" spans="1:2" x14ac:dyDescent="0.3">
      <c r="A276" t="n">
        <v>1.2629187907480997</v>
      </c>
      <c r="B276">
        <v>0.59914630043304207</v>
      </c>
    </row>
    <row r="277" spans="1:2" x14ac:dyDescent="0.3">
      <c r="A277" t="n">
        <v>0.8673443808227478</v>
      </c>
      <c r="B277">
        <v>0.5996115547269748</v>
      </c>
    </row>
    <row r="278" spans="1:2" x14ac:dyDescent="0.3">
      <c r="A278" t="n">
        <v>0.31461807489962645</v>
      </c>
      <c r="B278">
        <v>0.61111652927423776</v>
      </c>
    </row>
    <row r="279" spans="1:2" x14ac:dyDescent="0.3">
      <c r="A279" t="n">
        <v>0.7318844474511826</v>
      </c>
      <c r="B279">
        <v>0.62341361290708153</v>
      </c>
    </row>
    <row r="280" spans="1:2" x14ac:dyDescent="0.3">
      <c r="A280" t="n">
        <v>1.1761307481548329</v>
      </c>
      <c r="B280">
        <v>0.62598964629528098</v>
      </c>
    </row>
    <row r="281" spans="1:2" x14ac:dyDescent="0.3">
      <c r="A281" t="n">
        <v>1.0263987159834735</v>
      </c>
      <c r="B281">
        <v>0.6328504547579723</v>
      </c>
    </row>
    <row r="282" spans="1:2" x14ac:dyDescent="0.3">
      <c r="A282" t="n">
        <v>0.8300443561902766</v>
      </c>
      <c r="B282">
        <v>0.65357835977216017</v>
      </c>
    </row>
    <row r="283" spans="1:2" x14ac:dyDescent="0.3">
      <c r="A283" t="n">
        <v>0.5382123832359442</v>
      </c>
      <c r="B283">
        <v>0.65393949750220581</v>
      </c>
    </row>
    <row r="284" spans="1:2" x14ac:dyDescent="0.3">
      <c r="A284" t="n">
        <v>0.8192454734095908</v>
      </c>
      <c r="B284">
        <v>0.66951781847831571</v>
      </c>
    </row>
    <row r="285" spans="1:2" x14ac:dyDescent="0.3">
      <c r="A285" t="n">
        <v>0.7141708033528461</v>
      </c>
      <c r="B285">
        <v>0.67716131035464877</v>
      </c>
    </row>
    <row r="286" spans="1:2" x14ac:dyDescent="0.3">
      <c r="A286" t="n">
        <v>0.6567662262303846</v>
      </c>
      <c r="B286">
        <v>0.70829293474066002</v>
      </c>
    </row>
    <row r="287" spans="1:2" x14ac:dyDescent="0.3">
      <c r="A287" t="n">
        <v>1.1001045891438794</v>
      </c>
      <c r="B287">
        <v>0.747965143117027</v>
      </c>
    </row>
    <row r="288" spans="1:2" x14ac:dyDescent="0.3">
      <c r="A288" t="n">
        <v>1.2643529947847612</v>
      </c>
      <c r="B288">
        <v>0.81040671862243918</v>
      </c>
    </row>
    <row r="289" spans="1:2" x14ac:dyDescent="0.3">
      <c r="A289" t="n">
        <v>1.1716314549309539</v>
      </c>
      <c r="B289">
        <v>0.81486138657768714</v>
      </c>
    </row>
    <row r="290" spans="1:2" x14ac:dyDescent="0.3">
      <c r="A290" t="n">
        <v>0.7683297244695991</v>
      </c>
      <c r="B290">
        <v>0.81782243407061195</v>
      </c>
    </row>
    <row r="291" spans="1:2" x14ac:dyDescent="0.3">
      <c r="A291" t="n">
        <v>0.5263349249061827</v>
      </c>
      <c r="B291">
        <v>0.83617354560233748</v>
      </c>
    </row>
    <row r="292" spans="1:2" x14ac:dyDescent="0.3">
      <c r="A292" t="n">
        <v>0.6457943424878672</v>
      </c>
      <c r="B292">
        <v>0.85779630758961445</v>
      </c>
    </row>
    <row r="293" spans="1:2" x14ac:dyDescent="0.3">
      <c r="A293" t="n">
        <v>0.7706510818463415</v>
      </c>
      <c r="B293">
        <v>0.89869288992069862</v>
      </c>
    </row>
    <row r="294" spans="1:2" x14ac:dyDescent="0.3">
      <c r="A294" t="n">
        <v>0.9345008898022632</v>
      </c>
      <c r="B294">
        <v>0.92106633627469203</v>
      </c>
    </row>
    <row r="295" spans="1:2" x14ac:dyDescent="0.3">
      <c r="A295" t="n">
        <v>0.9365240163336555</v>
      </c>
      <c r="B295">
        <v>0.95022539483475799</v>
      </c>
    </row>
    <row r="296" spans="1:2" x14ac:dyDescent="0.3">
      <c r="A296" t="n">
        <v>0.8304331976767193</v>
      </c>
      <c r="B296">
        <v>1.1466088771456688</v>
      </c>
    </row>
    <row r="297" spans="1:2" x14ac:dyDescent="0.3">
      <c r="A297" t="n">
        <v>0.9051628372211673</v>
      </c>
      <c r="B297">
        <v>1.20866084805059</v>
      </c>
    </row>
    <row r="298" spans="1:2" x14ac:dyDescent="0.3">
      <c r="A298" t="n">
        <v>0.9894438226938632</v>
      </c>
      <c r="B298">
        <v>1.273096823350307</v>
      </c>
    </row>
    <row r="299" spans="1:2" x14ac:dyDescent="0.3">
      <c r="A299" t="n">
        <v>1.3365718027341758</v>
      </c>
      <c r="B299">
        <v>1.2839797102630404</v>
      </c>
    </row>
    <row r="300" spans="1:2" x14ac:dyDescent="0.3">
      <c r="A300" t="n">
        <v>0.637360367142858</v>
      </c>
      <c r="B300">
        <v>1.2967393444872177</v>
      </c>
    </row>
    <row r="301" spans="1:2" x14ac:dyDescent="0.3">
      <c r="A301" t="n">
        <v>0.3217237059993517</v>
      </c>
      <c r="B301">
        <v>1.6711671691065484</v>
      </c>
    </row>
  </sheetData>
  <sortState ref="B2:B301">
    <sortCondition ref="B2:B151"/>
  </sortState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1" r:id="rId4" shapeId="1025">
              <controlPr autoFill="0" autoPict="0" defaultSize="0" macro="[0]!Trier" print="0">
                <anchor moveWithCells="1" sizeWithCells="1">
                  <from>
                    <xdr:col>2</xdr:col>
                    <xdr:colOff>167640</xdr:colOff>
                    <xdr:row>0</xdr:row>
                    <xdr:rowOff>15240</xdr:rowOff>
                  </from>
                  <to>
                    <xdr:col>2</xdr:col>
                    <xdr:colOff>617220</xdr:colOff>
                    <xdr:row>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2">
      <vt:variant>
        <vt:lpstr>Feuilles de calcul</vt:lpstr>
      </vt:variant>
      <vt:variant>
        <vt:i4>1</vt:i4>
      </vt:variant>
    </vt:vector>
  </HeadingPairs>
  <TitlesOfParts>
    <vt:vector baseType="lpstr" size="1">
      <vt:lpstr>exponentielle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2018-04-24T07:14:19Z</dcterms:created>
  <dc:creator>Emmanuel Perez</dc:creator>
  <cp:lastModifiedBy>Sandrine Fock-Chow-Tho</cp:lastModifiedBy>
  <dcterms:modified xsi:type="dcterms:W3CDTF">2018-04-24T14:30:47Z</dcterms:modified>
</cp:coreProperties>
</file>